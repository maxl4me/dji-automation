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s" sheetId="1" state="visible" r:id="rId3"/>
    <sheet name="Summary" sheetId="2" state="visible" r:id="rId4"/>
  </sheets>
  <definedNames>
    <definedName function="false" hidden="true" localSheetId="0" name="_xlnm._FilterDatabase" vbProcedure="false">'Test Scenarios'!$A$1:$J$31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<sst xmlns="http://schemas.openxmlformats.org/spreadsheetml/2006/main" count="327" uniqueCount="201">
  <si>
    <t xml:space="preserve">TC ID</t>
  </si>
  <si>
    <t xml:space="preserve">Suite / Class</t>
  </si>
  <si>
    <t xml:space="preserve">Title</t>
  </si>
  <si>
    <t xml:space="preserve">Preconditions</t>
  </si>
  <si>
    <t xml:space="preserve">Steps</t>
  </si>
  <si>
    <t xml:space="preserve">Expected Result</t>
  </si>
  <si>
    <t xml:space="preserve">Severity</t>
  </si>
  <si>
    <t xml:space="preserve">DDT</t>
  </si>
  <si>
    <t xml:space="preserve">Automation Status</t>
  </si>
  <si>
    <t xml:space="preserve">Notes / Known Issue</t>
  </si>
  <si>
    <t xml:space="preserve">TC-SMK-001</t>
  </si>
  <si>
    <t xml:space="preserve">Smoke / TestHomepageSmoke</t>
  </si>
  <si>
    <t xml:space="preserve">Homepage loads and renders main navigation</t>
  </si>
  <si>
    <t xml:space="preserve">Network reachable; Chromium installed</t>
  </si>
  <si>
    <t xml:space="preserve">1. Navigate to dji.com/global. 2. Read URL. 3. Read page title. 4. Locate 'Camera Drones' nav link.</t>
  </si>
  <si>
    <t xml:space="preserve">URL is on a dji.com domain; title contains 'DJI'; 'Camera Drones' nav link visible.</t>
  </si>
  <si>
    <t xml:space="preserve">Blocker</t>
  </si>
  <si>
    <t xml:space="preserve">No</t>
  </si>
  <si>
    <t xml:space="preserve">Automated</t>
  </si>
  <si>
    <t xml:space="preserve">Region-tolerant: path /global vs / varies by IP.</t>
  </si>
  <si>
    <t xml:space="preserve">TC-SMK-002</t>
  </si>
  <si>
    <t xml:space="preserve">Homepage shows the region indicator</t>
  </si>
  <si>
    <t xml:space="preserve">Homepage loads</t>
  </si>
  <si>
    <t xml:space="preserve">1. Open homepage. 2. Locate the region control (div.language-box).</t>
  </si>
  <si>
    <t xml:space="preserve">'Other Regions' region/language control is visible.</t>
  </si>
  <si>
    <t xml:space="preserve">Normal</t>
  </si>
  <si>
    <t xml:space="preserve">Anchors on div.language-box; the 'Other Regions' text span is inside a hidden flyout (is_visible=False).</t>
  </si>
  <si>
    <t xml:space="preserve">TC-SMK-003</t>
  </si>
  <si>
    <t xml:space="preserve">Footer renders key column sections</t>
  </si>
  <si>
    <t xml:space="preserve">1. Open homepage. 2. Check footer column headings for 'Product Categories', 'Support', 'Explore'.</t>
  </si>
  <si>
    <t xml:space="preserve">All three footer section headings are visible.</t>
  </si>
  <si>
    <t xml:space="preserve">Representative subset of 9 headings; robust to minor column reorg.</t>
  </si>
  <si>
    <t xml:space="preserve">TC-NAV-001</t>
  </si>
  <si>
    <t xml:space="preserve">Navigation / TestMainNavigation</t>
  </si>
  <si>
    <t xml:space="preserve">Camera Drones nav navigates to product page</t>
  </si>
  <si>
    <t xml:space="preserve">1. Open homepage. 2. Click 'Camera Drones' nav link. 3. Read URL.</t>
  </si>
  <si>
    <t xml:space="preserve">Destination URL contains 'camera-drones'.</t>
  </si>
  <si>
    <t xml:space="preserve">Region-tolerant fragment assertion.</t>
  </si>
  <si>
    <t xml:space="preserve">TC-NAV-002</t>
  </si>
  <si>
    <t xml:space="preserve">Where to Buy nav navigates</t>
  </si>
  <si>
    <t xml:space="preserve">1. Open homepage. 2. Click 'Where to Buy' nav link. 3. Read URL.</t>
  </si>
  <si>
    <t xml:space="preserve">Destination URL contains 'where-to-buy'.</t>
  </si>
  <si>
    <t xml:space="preserve">TC-NAV-003</t>
  </si>
  <si>
    <t xml:space="preserve">Support nav navigates</t>
  </si>
  <si>
    <t xml:space="preserve">1. Open homepage. 2. Click the 'Support' header link (pinned by from=nav href). 3. Read URL.</t>
  </si>
  <si>
    <t xml:space="preserve">Destination URL contains '/support'.</t>
  </si>
  <si>
    <t xml:space="preserve">'Support' is non-unique on the page; disambiguated by href fragment.</t>
  </si>
  <si>
    <t xml:space="preserve">TC-NAV-004</t>
  </si>
  <si>
    <t xml:space="preserve">Footer link navigates (DDT)</t>
  </si>
  <si>
    <t xml:space="preserve">1. Open homepage. 2. Click footer link. 3. Verify URL contains expected fragment. Repeats for 4 links.</t>
  </si>
  <si>
    <t xml:space="preserve">Each link lands on a URL containing its expected fragment: Download Center -&gt; /downloads; DJI Trust Center -&gt; /trust-center; Media Center -&gt; /media-center; Flagship Stores -&gt; /where-to-buy/flagship.</t>
  </si>
  <si>
    <t xml:space="preserve">Yes (4 sets)</t>
  </si>
  <si>
    <t xml:space="preserve">Upper-column links only; footer bottom strip (Who We Are, Terms of Use) is in a clipped container Playwright treats as not-visible.</t>
  </si>
  <si>
    <t xml:space="preserve">TC-SCH-001</t>
  </si>
  <si>
    <t xml:space="preserve">Search / TestSearch</t>
  </si>
  <si>
    <t xml:space="preserve">Search via overlay returns matching products</t>
  </si>
  <si>
    <t xml:space="preserve">1. Open homepage. 2. Open search overlay. 3. Type 'mavic'. 4. Submit. 5. Wait for results to settle.</t>
  </si>
  <si>
    <t xml:space="preserve">URL contains '/search?q=mavic'; product result count &gt; 0.</t>
  </si>
  <si>
    <t xml:space="preserve">Critical</t>
  </si>
  <si>
    <t xml:space="preserve">Submission is same-tab despite form target=_blank.</t>
  </si>
  <si>
    <t xml:space="preserve">TC-SCH-002</t>
  </si>
  <si>
    <t xml:space="preserve">No-results query shows empty-state message</t>
  </si>
  <si>
    <t xml:space="preserve">None (direct URL)</t>
  </si>
  <si>
    <t xml:space="preserve">1. Navigate /search?q=&lt;random-uuid&gt;. 2. Check for no-data block. 3. Read product count.</t>
  </si>
  <si>
    <t xml:space="preserve">'Sorry, no results were found.' visible; product count = 0.</t>
  </si>
  <si>
    <t xml:space="preserve">Skipped (KI-001)</t>
  </si>
  <si>
    <t xml:space="preserve">KI-001: random-query no-data block has a JS-side render timing race; skipped rather than carry a flaky test.</t>
  </si>
  <si>
    <t xml:space="preserve">TC-SCH-003</t>
  </si>
  <si>
    <t xml:space="preserve">Search query persists in results-page input</t>
  </si>
  <si>
    <t xml:space="preserve">1. Navigate /search?q=mavic. 2. Read the results-page search input value.</t>
  </si>
  <si>
    <t xml:space="preserve">Input value contains 'mavic' (case-insensitive).</t>
  </si>
  <si>
    <t xml:space="preserve">Catches URL-routing-works-but-UI-desyncs regressions.</t>
  </si>
  <si>
    <t xml:space="preserve">TC-SCH-004</t>
  </si>
  <si>
    <t xml:space="preserve">Search returns products for multiple queries (DDT)</t>
  </si>
  <si>
    <t xml:space="preserve">1. Navigate /search?q=&lt;query&gt;. 2. Verify URL reflects query. 3. Verify count &gt; 0. Repeats per query.</t>
  </si>
  <si>
    <t xml:space="preserve">Each of mavic / mini / osmo / ronin returns &gt;= 1 product.</t>
  </si>
  <si>
    <t xml:space="preserve">Direct-URL (fast/stable); overlay path covered once by TC-SCH-001.</t>
  </si>
  <si>
    <t xml:space="preserve">TC-SCH-005</t>
  </si>
  <si>
    <t xml:space="preserve">Empty search query returns no products</t>
  </si>
  <si>
    <t xml:space="preserve">1. Navigate /search?q= (empty). 2. Wait for settle. 3. Read product count. 4. Check no-data block.</t>
  </si>
  <si>
    <t xml:space="preserve">Product count = 0; no-data block visible.</t>
  </si>
  <si>
    <t xml:space="preserve">Empty-query path is server-rendered and stable -- distinct from KI-001's random-query race.</t>
  </si>
  <si>
    <t xml:space="preserve">TC-PDP-001</t>
  </si>
  <si>
    <t xml:space="preserve">Product / TestProductPage</t>
  </si>
  <si>
    <t xml:space="preserve">Product page direct load renders expected elements</t>
  </si>
  <si>
    <t xml:space="preserve">Execution from an Israel-region IP</t>
  </si>
  <si>
    <t xml:space="preserve">1. Navigate /global/mavic-4-pro. 2. Read sub-nav title. 3. Verify Buy Now action.</t>
  </si>
  <si>
    <t xml:space="preserve">URL contains 'mavic-4-pro'; title contains 'DJI Mavic 4 Pro'; Buy Now visible.</t>
  </si>
  <si>
    <t xml:space="preserve">Automated (local only)</t>
  </si>
  <si>
    <t xml:space="preserve">KI-002: skipped when CI=true; DJI geo-redirect strips /global on non-IL IPs.</t>
  </si>
  <si>
    <t xml:space="preserve">TC-PDP-002</t>
  </si>
  <si>
    <t xml:space="preserve">Search result click navigates to a product page</t>
  </si>
  <si>
    <t xml:space="preserve">Homepage loads; search returns &gt;= 1 result</t>
  </si>
  <si>
    <t xml:space="preserve">1. Open homepage. 2. Search 'mavic'. 3. Click first result. 4. Verify product page renders.</t>
  </si>
  <si>
    <t xml:space="preserve">Product title contains 'DJI'; Buy Now visible.</t>
  </si>
  <si>
    <t xml:space="preserve">Region-agnostic; destination slug not pinned (asserts the contract, not a specific product).</t>
  </si>
  <si>
    <t xml:space="preserve">TC-PDP-003</t>
  </si>
  <si>
    <t xml:space="preserve">Store / TestStoreProductPage</t>
  </si>
  <si>
    <t xml:space="preserve">Store product page renders a price</t>
  </si>
  <si>
    <t xml:space="preserve">US store default</t>
  </si>
  <si>
    <t xml:space="preserve">1. Open store home. 2. Assert US region (fail-loud). 3. Open pinned product. 4. Verify price renders.</t>
  </si>
  <si>
    <t xml:space="preserve">A 'USD $&lt;amount&gt;' price is visible.</t>
  </si>
  <si>
    <t xml:space="preserve">Marketing PDP shows no price; pricing lives on store. Anchored on 'USD $&lt;digits&gt;' text pattern (build-hashed classes avoided).</t>
  </si>
  <si>
    <t xml:space="preserve">TC-CART-001</t>
  </si>
  <si>
    <t xml:space="preserve">Cart / TestCart</t>
  </si>
  <si>
    <t xml:space="preserve">Add a product to cart and remove it (guest)</t>
  </si>
  <si>
    <t xml:space="preserve">1. Open store; assert US. 2. Open product; add to cart. 3. Verify confirmation modal. 4. Open cart; verify item by name. 5. Remove item. 6. Verify cart empty.</t>
  </si>
  <si>
    <t xml:space="preserve">Item appears in cart, then cart is empty after removal.</t>
  </si>
  <si>
    <t xml:space="preserve">Stops before payment (STD hard rule). KI-003: depends on pinned product being in stock.</t>
  </si>
  <si>
    <t xml:space="preserve">TC-CART-002</t>
  </si>
  <si>
    <t xml:space="preserve">Add a product with quantity greater than 1</t>
  </si>
  <si>
    <t xml:space="preserve">1. Open product. 2. Set quantity to 2. 3. Add to cart. 4. Open cart.</t>
  </si>
  <si>
    <t xml:space="preserve">Cart line shows quantity 2; subtotal reflects 2 units.</t>
  </si>
  <si>
    <t xml:space="preserve">Designed</t>
  </si>
  <si>
    <t xml:space="preserve">Planned (Session 3).</t>
  </si>
  <si>
    <t xml:space="preserve">TC-CART-003</t>
  </si>
  <si>
    <t xml:space="preserve">Cart item persists within the session</t>
  </si>
  <si>
    <t xml:space="preserve">1. Add a product. 2. Navigate away to another store page. 3. Return to the cart in the same context.</t>
  </si>
  <si>
    <t xml:space="preserve">The added item is still present in the cart.</t>
  </si>
  <si>
    <t xml:space="preserve">Planned (Session 3). Exercises cart_uuid-cookie persistence.</t>
  </si>
  <si>
    <t xml:space="preserve">TC-CART-004</t>
  </si>
  <si>
    <t xml:space="preserve">Add multiple distinct products to the cart</t>
  </si>
  <si>
    <t xml:space="preserve">1. Add product A. 2. Add product B. 3. Open cart.</t>
  </si>
  <si>
    <t xml:space="preserve">Both products are listed in the cart.</t>
  </si>
  <si>
    <t xml:space="preserve">TC-STORE-001</t>
  </si>
  <si>
    <t xml:space="preserve">Store / TestStoreNavigation</t>
  </si>
  <si>
    <t xml:space="preserve">Store homepage defaults to the US store</t>
  </si>
  <si>
    <t xml:space="preserve">Any source IP</t>
  </si>
  <si>
    <t xml:space="preserve">1. Open store.dji.com. 2. Read region cookie / region indicator.</t>
  </si>
  <si>
    <t xml:space="preserve">region=US is the default regardless of source IP.</t>
  </si>
  <si>
    <t xml:space="preserve">Planned (Session 3). Store is not IP-redirected (verified by recon).</t>
  </si>
  <si>
    <t xml:space="preserve">TC-STORE-002</t>
  </si>
  <si>
    <t xml:space="preserve">Accessories category navigation</t>
  </si>
  <si>
    <t xml:space="preserve">Store homepage loads</t>
  </si>
  <si>
    <t xml:space="preserve">1. Open store. 2. Navigate to the Accessories category.</t>
  </si>
  <si>
    <t xml:space="preserve">Category page renders with a non-empty product grid.</t>
  </si>
  <si>
    <t xml:space="preserve">TC-STORE-003</t>
  </si>
  <si>
    <t xml:space="preserve">Store search returns results (DDT)</t>
  </si>
  <si>
    <t xml:space="preserve">1. Search the store for each term. 2. Verify a non-empty result set. Repeats per term.</t>
  </si>
  <si>
    <t xml:space="preserve">Each search term returns at least one product.</t>
  </si>
  <si>
    <t xml:space="preserve">Yes (planned)</t>
  </si>
  <si>
    <t xml:space="preserve">Planned (Session 3). Third DDT example.</t>
  </si>
  <si>
    <t xml:space="preserve">TC-FOOT-001</t>
  </si>
  <si>
    <t xml:space="preserve">Forms / TestFooter</t>
  </si>
  <si>
    <t xml:space="preserve">Newsletter signup accepts a valid email</t>
  </si>
  <si>
    <t xml:space="preserve">1. Locate the footer 'Subscribe' email input. 2. Enter a valid email. 3. Submit.</t>
  </si>
  <si>
    <t xml:space="preserve">A success / acceptance state is shown (no validation error).</t>
  </si>
  <si>
    <t xml:space="preserve">Form-fill scenario (matches rubric example). Footer has a Subscribe section.</t>
  </si>
  <si>
    <t xml:space="preserve">TC-REG-001</t>
  </si>
  <si>
    <t xml:space="preserve">i18n / TestRegion</t>
  </si>
  <si>
    <t xml:space="preserve">Region switcher opens and lists regions</t>
  </si>
  <si>
    <t xml:space="preserve">1. Click the region control (language-box). 2. Observe the region flyout.</t>
  </si>
  <si>
    <t xml:space="preserve">A list of regions/countries becomes visible.</t>
  </si>
  <si>
    <t xml:space="preserve">Exercises the hidden flyout found in recon (the span behind TC-SMK-002).</t>
  </si>
  <si>
    <t xml:space="preserve">TC-PDP-004</t>
  </si>
  <si>
    <t xml:space="preserve">Product page renders the spec / feature section</t>
  </si>
  <si>
    <t xml:space="preserve">Product page loads</t>
  </si>
  <si>
    <t xml:space="preserve">1. Open a product page. 2. Scroll to the specifications / feature section.</t>
  </si>
  <si>
    <t xml:space="preserve">Spec or feature content is visible.</t>
  </si>
  <si>
    <t xml:space="preserve">Minor</t>
  </si>
  <si>
    <t xml:space="preserve">Planned.</t>
  </si>
  <si>
    <t xml:space="preserve">TC-PDP-005</t>
  </si>
  <si>
    <t xml:space="preserve">Product image gallery is navigable</t>
  </si>
  <si>
    <t xml:space="preserve">1. Open a product page. 2. Select a gallery thumbnail.</t>
  </si>
  <si>
    <t xml:space="preserve">The main image updates to match the selected thumbnail.</t>
  </si>
  <si>
    <t xml:space="preserve">TC-CART-005</t>
  </si>
  <si>
    <t xml:space="preserve">Cart quantity update recalculates the subtotal</t>
  </si>
  <si>
    <t xml:space="preserve">One item in cart</t>
  </si>
  <si>
    <t xml:space="preserve">1. Open a cart containing 1 item. 2. Increment the line quantity. 3. Read the subtotal.</t>
  </si>
  <si>
    <t xml:space="preserve">Subtotal updates to match the new quantity.</t>
  </si>
  <si>
    <t xml:space="preserve">TC-SCH-006</t>
  </si>
  <si>
    <t xml:space="preserve">Search overlay shows autocomplete suggestions</t>
  </si>
  <si>
    <t xml:space="preserve">1. Open the search overlay. 2. Type a partial query.</t>
  </si>
  <si>
    <t xml:space="preserve">A suggestion list appears below the input.</t>
  </si>
  <si>
    <t xml:space="preserve">Planned. Requires recon to confirm suggestion DOM.</t>
  </si>
  <si>
    <t xml:space="preserve">TC-NAV-005</t>
  </si>
  <si>
    <t xml:space="preserve">Mega-menu reveals subcategories on hover</t>
  </si>
  <si>
    <t xml:space="preserve">1. Hover a primary nav category (e.g. Camera Drones).</t>
  </si>
  <si>
    <t xml:space="preserve">A submenu/flyout with subcategory links becomes visible.</t>
  </si>
  <si>
    <t xml:space="preserve">TC-HOME-001</t>
  </si>
  <si>
    <t xml:space="preserve">Hero CTA navigates to featured product</t>
  </si>
  <si>
    <t xml:space="preserve">1. Click the hero 'Learn More' / CTA button.</t>
  </si>
  <si>
    <t xml:space="preserve">Lands on the featured product's page.</t>
  </si>
  <si>
    <t xml:space="preserve">DJI Global Storefront — Test Scenario Catalogue (STD)</t>
  </si>
  <si>
    <t xml:space="preserve">Target</t>
  </si>
  <si>
    <t xml:space="preserve">https://www.dji.com/global  +  https://store.dji.com</t>
  </si>
  <si>
    <t xml:space="preserve">Author</t>
  </si>
  <si>
    <t xml:space="preserve">Max Rybkin</t>
  </si>
  <si>
    <t xml:space="preserve">Framework</t>
  </si>
  <si>
    <t xml:space="preserve">Python 3.12 · Pytest · Playwright (Chromium) · Allure · GitHub Actions</t>
  </si>
  <si>
    <t xml:space="preserve">Architecture</t>
  </si>
  <si>
    <t xml:space="preserve">Page Object Model (pages + components); selectors out of tests</t>
  </si>
  <si>
    <t xml:space="preserve">Repo</t>
  </si>
  <si>
    <t xml:space="preserve">github.com/maxl4me/dji-automation</t>
  </si>
  <si>
    <t xml:space="preserve">Metric</t>
  </si>
  <si>
    <t xml:space="preserve">Count</t>
  </si>
  <si>
    <t xml:space="preserve">Total scenarios</t>
  </si>
  <si>
    <t xml:space="preserve">Automated (incl. local-only)</t>
  </si>
  <si>
    <t xml:space="preserve">Designed (not yet automated)</t>
  </si>
  <si>
    <t xml:space="preserve">Skipped (known issue)</t>
  </si>
  <si>
    <t xml:space="preserve">DDT scenarios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</si>
</sst>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4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 customFormat="false" ht="23.85" hidden="false" customHeight="false" outlineLevel="0" collapsed="false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17</v>
      </c>
      <c r="I3" s="3" t="s">
        <v>18</v>
      </c>
      <c r="J3" s="2" t="s">
        <v>26</v>
      </c>
    </row>
    <row r="4" customFormat="false" ht="23.85" hidden="false" customHeight="false" outlineLevel="0" collapsed="false">
      <c r="A4" s="2" t="s">
        <v>27</v>
      </c>
      <c r="B4" s="2" t="s">
        <v>11</v>
      </c>
      <c r="C4" s="2" t="s">
        <v>28</v>
      </c>
      <c r="D4" s="2" t="s">
        <v>22</v>
      </c>
      <c r="E4" s="2" t="s">
        <v>29</v>
      </c>
      <c r="F4" s="2" t="s">
        <v>30</v>
      </c>
      <c r="G4" s="2" t="s">
        <v>25</v>
      </c>
      <c r="H4" s="2" t="s">
        <v>17</v>
      </c>
      <c r="I4" s="3" t="s">
        <v>18</v>
      </c>
      <c r="J4" s="2" t="s">
        <v>31</v>
      </c>
    </row>
    <row r="5" customFormat="false" ht="23.85" hidden="false" customHeight="false" outlineLevel="0" collapsed="false">
      <c r="A5" s="2" t="s">
        <v>32</v>
      </c>
      <c r="B5" s="2" t="s">
        <v>33</v>
      </c>
      <c r="C5" s="2" t="s">
        <v>34</v>
      </c>
      <c r="D5" s="2" t="s">
        <v>22</v>
      </c>
      <c r="E5" s="2" t="s">
        <v>35</v>
      </c>
      <c r="F5" s="2" t="s">
        <v>36</v>
      </c>
      <c r="G5" s="2" t="s">
        <v>25</v>
      </c>
      <c r="H5" s="2" t="s">
        <v>17</v>
      </c>
      <c r="I5" s="3" t="s">
        <v>18</v>
      </c>
      <c r="J5" s="2" t="s">
        <v>37</v>
      </c>
    </row>
    <row r="6" customFormat="false" ht="23.85" hidden="false" customHeight="false" outlineLevel="0" collapsed="false">
      <c r="A6" s="2" t="s">
        <v>38</v>
      </c>
      <c r="B6" s="2" t="s">
        <v>33</v>
      </c>
      <c r="C6" s="2" t="s">
        <v>39</v>
      </c>
      <c r="D6" s="2" t="s">
        <v>22</v>
      </c>
      <c r="E6" s="2" t="s">
        <v>40</v>
      </c>
      <c r="F6" s="2" t="s">
        <v>41</v>
      </c>
      <c r="G6" s="2" t="s">
        <v>25</v>
      </c>
      <c r="H6" s="2" t="s">
        <v>17</v>
      </c>
      <c r="I6" s="3" t="s">
        <v>18</v>
      </c>
      <c r="J6" s="2"/>
    </row>
    <row r="7" customFormat="false" ht="23.85" hidden="false" customHeight="false" outlineLevel="0" collapsed="false">
      <c r="A7" s="2" t="s">
        <v>42</v>
      </c>
      <c r="B7" s="2" t="s">
        <v>33</v>
      </c>
      <c r="C7" s="2" t="s">
        <v>43</v>
      </c>
      <c r="D7" s="2" t="s">
        <v>22</v>
      </c>
      <c r="E7" s="2" t="s">
        <v>44</v>
      </c>
      <c r="F7" s="2" t="s">
        <v>45</v>
      </c>
      <c r="G7" s="2" t="s">
        <v>25</v>
      </c>
      <c r="H7" s="2" t="s">
        <v>17</v>
      </c>
      <c r="I7" s="3" t="s">
        <v>18</v>
      </c>
      <c r="J7" s="2" t="s">
        <v>46</v>
      </c>
    </row>
    <row r="8" customFormat="false" ht="46.25" hidden="false" customHeight="false" outlineLevel="0" collapsed="false">
      <c r="A8" s="2" t="s">
        <v>47</v>
      </c>
      <c r="B8" s="2" t="s">
        <v>33</v>
      </c>
      <c r="C8" s="2" t="s">
        <v>48</v>
      </c>
      <c r="D8" s="2" t="s">
        <v>22</v>
      </c>
      <c r="E8" s="2" t="s">
        <v>49</v>
      </c>
      <c r="F8" s="2" t="s">
        <v>50</v>
      </c>
      <c r="G8" s="2" t="s">
        <v>25</v>
      </c>
      <c r="H8" s="2" t="s">
        <v>51</v>
      </c>
      <c r="I8" s="3" t="s">
        <v>18</v>
      </c>
      <c r="J8" s="2" t="s">
        <v>52</v>
      </c>
    </row>
    <row r="9" customFormat="false" ht="23.85" hidden="false" customHeight="false" outlineLevel="0" collapsed="false">
      <c r="A9" s="2" t="s">
        <v>53</v>
      </c>
      <c r="B9" s="2" t="s">
        <v>54</v>
      </c>
      <c r="C9" s="2" t="s">
        <v>55</v>
      </c>
      <c r="D9" s="2" t="s">
        <v>22</v>
      </c>
      <c r="E9" s="2" t="s">
        <v>56</v>
      </c>
      <c r="F9" s="2" t="s">
        <v>57</v>
      </c>
      <c r="G9" s="2" t="s">
        <v>58</v>
      </c>
      <c r="H9" s="2" t="s">
        <v>17</v>
      </c>
      <c r="I9" s="3" t="s">
        <v>18</v>
      </c>
      <c r="J9" s="2" t="s">
        <v>59</v>
      </c>
    </row>
    <row r="10" customFormat="false" ht="23.85" hidden="false" customHeight="false" outlineLevel="0" collapsed="false">
      <c r="A10" s="2" t="s">
        <v>60</v>
      </c>
      <c r="B10" s="2" t="s">
        <v>54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25</v>
      </c>
      <c r="H10" s="2" t="s">
        <v>17</v>
      </c>
      <c r="I10" s="4" t="s">
        <v>65</v>
      </c>
      <c r="J10" s="2" t="s">
        <v>66</v>
      </c>
    </row>
    <row r="11" customFormat="false" ht="23.85" hidden="false" customHeight="false" outlineLevel="0" collapsed="false">
      <c r="A11" s="2" t="s">
        <v>67</v>
      </c>
      <c r="B11" s="2" t="s">
        <v>54</v>
      </c>
      <c r="C11" s="2" t="s">
        <v>68</v>
      </c>
      <c r="D11" s="2" t="s">
        <v>62</v>
      </c>
      <c r="E11" s="2" t="s">
        <v>69</v>
      </c>
      <c r="F11" s="2" t="s">
        <v>70</v>
      </c>
      <c r="G11" s="2" t="s">
        <v>25</v>
      </c>
      <c r="H11" s="2" t="s">
        <v>17</v>
      </c>
      <c r="I11" s="3" t="s">
        <v>18</v>
      </c>
      <c r="J11" s="2" t="s">
        <v>71</v>
      </c>
    </row>
    <row r="12" customFormat="false" ht="23.85" hidden="false" customHeight="false" outlineLevel="0" collapsed="false">
      <c r="A12" s="2" t="s">
        <v>72</v>
      </c>
      <c r="B12" s="2" t="s">
        <v>54</v>
      </c>
      <c r="C12" s="2" t="s">
        <v>73</v>
      </c>
      <c r="D12" s="2" t="s">
        <v>62</v>
      </c>
      <c r="E12" s="2" t="s">
        <v>74</v>
      </c>
      <c r="F12" s="2" t="s">
        <v>75</v>
      </c>
      <c r="G12" s="2" t="s">
        <v>25</v>
      </c>
      <c r="H12" s="2" t="s">
        <v>51</v>
      </c>
      <c r="I12" s="3" t="s">
        <v>18</v>
      </c>
      <c r="J12" s="2" t="s">
        <v>76</v>
      </c>
    </row>
    <row r="13" customFormat="false" ht="23.85" hidden="false" customHeight="false" outlineLevel="0" collapsed="false">
      <c r="A13" s="2" t="s">
        <v>77</v>
      </c>
      <c r="B13" s="2" t="s">
        <v>54</v>
      </c>
      <c r="C13" s="2" t="s">
        <v>78</v>
      </c>
      <c r="D13" s="2" t="s">
        <v>62</v>
      </c>
      <c r="E13" s="2" t="s">
        <v>79</v>
      </c>
      <c r="F13" s="2" t="s">
        <v>80</v>
      </c>
      <c r="G13" s="2" t="s">
        <v>25</v>
      </c>
      <c r="H13" s="2" t="s">
        <v>17</v>
      </c>
      <c r="I13" s="3" t="s">
        <v>18</v>
      </c>
      <c r="J13" s="2" t="s">
        <v>81</v>
      </c>
    </row>
    <row r="14" customFormat="false" ht="23.85" hidden="false" customHeight="false" outlineLevel="0" collapsed="false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58</v>
      </c>
      <c r="H14" s="2" t="s">
        <v>17</v>
      </c>
      <c r="I14" s="5" t="s">
        <v>88</v>
      </c>
      <c r="J14" s="2" t="s">
        <v>89</v>
      </c>
    </row>
    <row r="15" customFormat="false" ht="23.85" hidden="false" customHeight="false" outlineLevel="0" collapsed="false">
      <c r="A15" s="2" t="s">
        <v>90</v>
      </c>
      <c r="B15" s="2" t="s">
        <v>83</v>
      </c>
      <c r="C15" s="2" t="s">
        <v>91</v>
      </c>
      <c r="D15" s="2" t="s">
        <v>92</v>
      </c>
      <c r="E15" s="2" t="s">
        <v>93</v>
      </c>
      <c r="F15" s="2" t="s">
        <v>94</v>
      </c>
      <c r="G15" s="2" t="s">
        <v>58</v>
      </c>
      <c r="H15" s="2" t="s">
        <v>17</v>
      </c>
      <c r="I15" s="3" t="s">
        <v>18</v>
      </c>
      <c r="J15" s="2" t="s">
        <v>95</v>
      </c>
    </row>
    <row r="16" customFormat="false" ht="35.05" hidden="false" customHeight="false" outlineLevel="0" collapsed="false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25</v>
      </c>
      <c r="H16" s="2" t="s">
        <v>17</v>
      </c>
      <c r="I16" s="3" t="s">
        <v>18</v>
      </c>
      <c r="J16" s="2" t="s">
        <v>102</v>
      </c>
    </row>
    <row r="17" customFormat="false" ht="35.05" hidden="false" customHeight="false" outlineLevel="0" collapsed="false">
      <c r="A17" s="2" t="s">
        <v>103</v>
      </c>
      <c r="B17" s="2" t="s">
        <v>104</v>
      </c>
      <c r="C17" s="2" t="s">
        <v>105</v>
      </c>
      <c r="D17" s="2" t="s">
        <v>99</v>
      </c>
      <c r="E17" s="2" t="s">
        <v>106</v>
      </c>
      <c r="F17" s="2" t="s">
        <v>107</v>
      </c>
      <c r="G17" s="2" t="s">
        <v>58</v>
      </c>
      <c r="H17" s="2" t="s">
        <v>17</v>
      </c>
      <c r="I17" s="3" t="s">
        <v>18</v>
      </c>
      <c r="J17" s="2" t="s">
        <v>108</v>
      </c>
    </row>
    <row r="18" customFormat="false" ht="23.85" hidden="false" customHeight="false" outlineLevel="0" collapsed="false">
      <c r="A18" s="2" t="s">
        <v>109</v>
      </c>
      <c r="B18" s="2" t="s">
        <v>104</v>
      </c>
      <c r="C18" s="2" t="s">
        <v>110</v>
      </c>
      <c r="D18" s="2" t="s">
        <v>99</v>
      </c>
      <c r="E18" s="2" t="s">
        <v>111</v>
      </c>
      <c r="F18" s="2" t="s">
        <v>112</v>
      </c>
      <c r="G18" s="2" t="s">
        <v>58</v>
      </c>
      <c r="H18" s="2" t="s">
        <v>17</v>
      </c>
      <c r="I18" s="6" t="s">
        <v>113</v>
      </c>
      <c r="J18" s="2" t="s">
        <v>114</v>
      </c>
    </row>
    <row r="19" customFormat="false" ht="23.85" hidden="false" customHeight="false" outlineLevel="0" collapsed="false">
      <c r="A19" s="2" t="s">
        <v>115</v>
      </c>
      <c r="B19" s="2" t="s">
        <v>104</v>
      </c>
      <c r="C19" s="2" t="s">
        <v>116</v>
      </c>
      <c r="D19" s="2" t="s">
        <v>99</v>
      </c>
      <c r="E19" s="2" t="s">
        <v>117</v>
      </c>
      <c r="F19" s="2" t="s">
        <v>118</v>
      </c>
      <c r="G19" s="2" t="s">
        <v>25</v>
      </c>
      <c r="H19" s="2" t="s">
        <v>17</v>
      </c>
      <c r="I19" s="6" t="s">
        <v>113</v>
      </c>
      <c r="J19" s="2" t="s">
        <v>119</v>
      </c>
    </row>
    <row r="20" customFormat="false" ht="15" hidden="false" customHeight="false" outlineLevel="0" collapsed="false">
      <c r="A20" s="2" t="s">
        <v>120</v>
      </c>
      <c r="B20" s="2" t="s">
        <v>104</v>
      </c>
      <c r="C20" s="2" t="s">
        <v>121</v>
      </c>
      <c r="D20" s="2" t="s">
        <v>99</v>
      </c>
      <c r="E20" s="2" t="s">
        <v>122</v>
      </c>
      <c r="F20" s="2" t="s">
        <v>123</v>
      </c>
      <c r="G20" s="2" t="s">
        <v>58</v>
      </c>
      <c r="H20" s="2" t="s">
        <v>17</v>
      </c>
      <c r="I20" s="6" t="s">
        <v>113</v>
      </c>
      <c r="J20" s="2" t="s">
        <v>114</v>
      </c>
    </row>
    <row r="21" customFormat="false" ht="23.85" hidden="false" customHeight="false" outlineLevel="0" collapsed="false">
      <c r="A21" s="2" t="s">
        <v>124</v>
      </c>
      <c r="B21" s="2" t="s">
        <v>125</v>
      </c>
      <c r="C21" s="2" t="s">
        <v>126</v>
      </c>
      <c r="D21" s="2" t="s">
        <v>127</v>
      </c>
      <c r="E21" s="2" t="s">
        <v>128</v>
      </c>
      <c r="F21" s="2" t="s">
        <v>129</v>
      </c>
      <c r="G21" s="2" t="s">
        <v>58</v>
      </c>
      <c r="H21" s="2" t="s">
        <v>17</v>
      </c>
      <c r="I21" s="6" t="s">
        <v>113</v>
      </c>
      <c r="J21" s="2" t="s">
        <v>130</v>
      </c>
    </row>
    <row r="22" customFormat="false" ht="23.85" hidden="false" customHeight="false" outlineLevel="0" collapsed="false">
      <c r="A22" s="2" t="s">
        <v>131</v>
      </c>
      <c r="B22" s="2" t="s">
        <v>125</v>
      </c>
      <c r="C22" s="2" t="s">
        <v>132</v>
      </c>
      <c r="D22" s="2" t="s">
        <v>133</v>
      </c>
      <c r="E22" s="2" t="s">
        <v>134</v>
      </c>
      <c r="F22" s="2" t="s">
        <v>135</v>
      </c>
      <c r="G22" s="2" t="s">
        <v>25</v>
      </c>
      <c r="H22" s="2" t="s">
        <v>17</v>
      </c>
      <c r="I22" s="6" t="s">
        <v>113</v>
      </c>
      <c r="J22" s="2" t="s">
        <v>114</v>
      </c>
    </row>
    <row r="23" customFormat="false" ht="23.85" hidden="false" customHeight="false" outlineLevel="0" collapsed="false">
      <c r="A23" s="2" t="s">
        <v>136</v>
      </c>
      <c r="B23" s="2" t="s">
        <v>125</v>
      </c>
      <c r="C23" s="2" t="s">
        <v>137</v>
      </c>
      <c r="D23" s="2" t="s">
        <v>133</v>
      </c>
      <c r="E23" s="2" t="s">
        <v>138</v>
      </c>
      <c r="F23" s="2" t="s">
        <v>139</v>
      </c>
      <c r="G23" s="2" t="s">
        <v>25</v>
      </c>
      <c r="H23" s="2" t="s">
        <v>140</v>
      </c>
      <c r="I23" s="6" t="s">
        <v>113</v>
      </c>
      <c r="J23" s="2" t="s">
        <v>141</v>
      </c>
    </row>
    <row r="24" customFormat="false" ht="23.85" hidden="false" customHeight="false" outlineLevel="0" collapsed="false">
      <c r="A24" s="2" t="s">
        <v>142</v>
      </c>
      <c r="B24" s="2" t="s">
        <v>143</v>
      </c>
      <c r="C24" s="2" t="s">
        <v>144</v>
      </c>
      <c r="D24" s="2" t="s">
        <v>22</v>
      </c>
      <c r="E24" s="2" t="s">
        <v>145</v>
      </c>
      <c r="F24" s="2" t="s">
        <v>146</v>
      </c>
      <c r="G24" s="2" t="s">
        <v>25</v>
      </c>
      <c r="H24" s="2" t="s">
        <v>17</v>
      </c>
      <c r="I24" s="6" t="s">
        <v>113</v>
      </c>
      <c r="J24" s="2" t="s">
        <v>147</v>
      </c>
    </row>
    <row r="25" customFormat="false" ht="23.85" hidden="false" customHeight="false" outlineLevel="0" collapsed="false">
      <c r="A25" s="2" t="s">
        <v>148</v>
      </c>
      <c r="B25" s="2" t="s">
        <v>149</v>
      </c>
      <c r="C25" s="2" t="s">
        <v>150</v>
      </c>
      <c r="D25" s="2" t="s">
        <v>22</v>
      </c>
      <c r="E25" s="2" t="s">
        <v>151</v>
      </c>
      <c r="F25" s="2" t="s">
        <v>152</v>
      </c>
      <c r="G25" s="2" t="s">
        <v>25</v>
      </c>
      <c r="H25" s="2" t="s">
        <v>17</v>
      </c>
      <c r="I25" s="6" t="s">
        <v>113</v>
      </c>
      <c r="J25" s="2" t="s">
        <v>153</v>
      </c>
    </row>
    <row r="26" customFormat="false" ht="23.85" hidden="false" customHeight="false" outlineLevel="0" collapsed="false">
      <c r="A26" s="2" t="s">
        <v>154</v>
      </c>
      <c r="B26" s="2" t="s">
        <v>83</v>
      </c>
      <c r="C26" s="2" t="s">
        <v>155</v>
      </c>
      <c r="D26" s="2" t="s">
        <v>156</v>
      </c>
      <c r="E26" s="2" t="s">
        <v>157</v>
      </c>
      <c r="F26" s="2" t="s">
        <v>158</v>
      </c>
      <c r="G26" s="2" t="s">
        <v>159</v>
      </c>
      <c r="H26" s="2" t="s">
        <v>17</v>
      </c>
      <c r="I26" s="6" t="s">
        <v>113</v>
      </c>
      <c r="J26" s="2" t="s">
        <v>160</v>
      </c>
    </row>
    <row r="27" customFormat="false" ht="23.85" hidden="false" customHeight="false" outlineLevel="0" collapsed="false">
      <c r="A27" s="2" t="s">
        <v>161</v>
      </c>
      <c r="B27" s="2" t="s">
        <v>83</v>
      </c>
      <c r="C27" s="2" t="s">
        <v>162</v>
      </c>
      <c r="D27" s="2" t="s">
        <v>156</v>
      </c>
      <c r="E27" s="2" t="s">
        <v>163</v>
      </c>
      <c r="F27" s="2" t="s">
        <v>164</v>
      </c>
      <c r="G27" s="2" t="s">
        <v>159</v>
      </c>
      <c r="H27" s="2" t="s">
        <v>17</v>
      </c>
      <c r="I27" s="6" t="s">
        <v>113</v>
      </c>
      <c r="J27" s="2" t="s">
        <v>160</v>
      </c>
    </row>
    <row r="28" customFormat="false" ht="23.85" hidden="false" customHeight="false" outlineLevel="0" collapsed="false">
      <c r="A28" s="2" t="s">
        <v>165</v>
      </c>
      <c r="B28" s="2" t="s">
        <v>104</v>
      </c>
      <c r="C28" s="2" t="s">
        <v>166</v>
      </c>
      <c r="D28" s="2" t="s">
        <v>167</v>
      </c>
      <c r="E28" s="2" t="s">
        <v>168</v>
      </c>
      <c r="F28" s="2" t="s">
        <v>169</v>
      </c>
      <c r="G28" s="2" t="s">
        <v>25</v>
      </c>
      <c r="H28" s="2" t="s">
        <v>17</v>
      </c>
      <c r="I28" s="6" t="s">
        <v>113</v>
      </c>
      <c r="J28" s="2" t="s">
        <v>160</v>
      </c>
    </row>
    <row r="29" customFormat="false" ht="15" hidden="false" customHeight="false" outlineLevel="0" collapsed="false">
      <c r="A29" s="2" t="s">
        <v>170</v>
      </c>
      <c r="B29" s="2" t="s">
        <v>54</v>
      </c>
      <c r="C29" s="2" t="s">
        <v>171</v>
      </c>
      <c r="D29" s="2" t="s">
        <v>22</v>
      </c>
      <c r="E29" s="2" t="s">
        <v>172</v>
      </c>
      <c r="F29" s="2" t="s">
        <v>173</v>
      </c>
      <c r="G29" s="2" t="s">
        <v>159</v>
      </c>
      <c r="H29" s="2" t="s">
        <v>17</v>
      </c>
      <c r="I29" s="6" t="s">
        <v>113</v>
      </c>
      <c r="J29" s="2" t="s">
        <v>174</v>
      </c>
    </row>
    <row r="30" customFormat="false" ht="23.85" hidden="false" customHeight="false" outlineLevel="0" collapsed="false">
      <c r="A30" s="2" t="s">
        <v>175</v>
      </c>
      <c r="B30" s="2" t="s">
        <v>33</v>
      </c>
      <c r="C30" s="2" t="s">
        <v>176</v>
      </c>
      <c r="D30" s="2" t="s">
        <v>22</v>
      </c>
      <c r="E30" s="2" t="s">
        <v>177</v>
      </c>
      <c r="F30" s="2" t="s">
        <v>178</v>
      </c>
      <c r="G30" s="2" t="s">
        <v>159</v>
      </c>
      <c r="H30" s="2" t="s">
        <v>17</v>
      </c>
      <c r="I30" s="6" t="s">
        <v>113</v>
      </c>
      <c r="J30" s="2" t="s">
        <v>160</v>
      </c>
    </row>
    <row r="31" customFormat="false" ht="15" hidden="false" customHeight="false" outlineLevel="0" collapsed="false">
      <c r="A31" s="2" t="s">
        <v>179</v>
      </c>
      <c r="B31" s="2" t="s">
        <v>11</v>
      </c>
      <c r="C31" s="2" t="s">
        <v>180</v>
      </c>
      <c r="D31" s="2" t="s">
        <v>22</v>
      </c>
      <c r="E31" s="2" t="s">
        <v>181</v>
      </c>
      <c r="F31" s="2" t="s">
        <v>182</v>
      </c>
      <c r="G31" s="2" t="s">
        <v>25</v>
      </c>
      <c r="H31" s="2" t="s">
        <v>17</v>
      </c>
      <c r="I31" s="6" t="s">
        <v>113</v>
      </c>
      <c r="J31" s="2" t="s">
        <v>160</v>
      </c>
    </row>
  </sheetData>
  <autoFilter ref="A1:J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</cols>
  <sheetData>
    <row r="1" customFormat="false" ht="16.15" hidden="false" customHeight="false" outlineLevel="0" collapsed="false">
      <c r="A1" s="7" t="s">
        <v>183</v>
      </c>
    </row>
    <row r="2" customFormat="false" ht="15" hidden="false" customHeight="false" outlineLevel="0" collapsed="false">
      <c r="A2" s="8" t="s">
        <v>184</v>
      </c>
      <c r="B2" s="9" t="s">
        <v>185</v>
      </c>
    </row>
    <row r="3" customFormat="false" ht="15" hidden="false" customHeight="false" outlineLevel="0" collapsed="false">
      <c r="A3" s="8" t="s">
        <v>186</v>
      </c>
      <c r="B3" s="9" t="s">
        <v>187</v>
      </c>
    </row>
    <row r="4" customFormat="false" ht="15" hidden="false" customHeight="false" outlineLevel="0" collapsed="false">
      <c r="A4" s="8" t="s">
        <v>188</v>
      </c>
      <c r="B4" s="9" t="s">
        <v>189</v>
      </c>
    </row>
    <row r="5" customFormat="false" ht="15" hidden="false" customHeight="false" outlineLevel="0" collapsed="false">
      <c r="A5" s="8" t="s">
        <v>190</v>
      </c>
      <c r="B5" s="9" t="s">
        <v>191</v>
      </c>
    </row>
    <row r="6" customFormat="false" ht="15" hidden="false" customHeight="false" outlineLevel="0" collapsed="false">
      <c r="A6" s="8" t="s">
        <v>192</v>
      </c>
      <c r="B6" s="9" t="s">
        <v>193</v>
      </c>
    </row>
    <row r="8" customFormat="false" ht="15" hidden="false" customHeight="false" outlineLevel="0" collapsed="false">
      <c r="A8" s="10" t="s">
        <v>194</v>
      </c>
      <c r="B8" s="10" t="s">
        <v>195</v>
      </c>
    </row>
    <row r="9" customFormat="false" ht="15" hidden="false" customHeight="false" outlineLevel="0" collapsed="false">
      <c r="A9" s="9" t="s">
        <v>196</v>
      </c>
      <c r="B9" s="11" t="n">
        <f aca="false">COUNTA('Test Scenarios'!A2:A31)</f>
        <v>30</v>
      </c>
    </row>
    <row r="10" customFormat="false" ht="15" hidden="false" customHeight="false" outlineLevel="0" collapsed="false">
      <c r="A10" s="9" t="s">
        <v>197</v>
      </c>
      <c r="B10" s="11" t="n">
        <f aca="false">COUNTIF('Test Scenarios'!I2:I31,"Automated*")</f>
        <v>15</v>
      </c>
    </row>
    <row r="11" customFormat="false" ht="15" hidden="false" customHeight="false" outlineLevel="0" collapsed="false">
      <c r="A11" s="9" t="s">
        <v>198</v>
      </c>
      <c r="B11" s="11" t="n">
        <f aca="false">COUNTIF('Test Scenarios'!I2:I31,"Designed")</f>
        <v>14</v>
      </c>
    </row>
    <row r="12" customFormat="false" ht="15" hidden="false" customHeight="false" outlineLevel="0" collapsed="false">
      <c r="A12" s="9" t="s">
        <v>199</v>
      </c>
      <c r="B12" s="11" t="n">
        <f aca="false">COUNTIF('Test Scenarios'!I2:I31,"Skipped*")</f>
        <v>1</v>
      </c>
    </row>
    <row r="13" customFormat="false" ht="15" hidden="false" customHeight="false" outlineLevel="0" collapsed="false">
      <c r="A13" s="9" t="s">
        <v>200</v>
      </c>
      <c r="B13" s="11" t="n">
        <f aca="false">COUNTIF('Test Scenarios'!H2:H31,"Yes*")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2026-05-31T08:52:21Z</dcterms:created>
  <dc:creator>openpyxl</dc:creator>
  <dc:description/>
  <dc:language>en-US</dc:language>
  <cp:lastModifiedBy/>
  <dcterms:modified xsi:type="dcterms:W3CDTF">2026-05-31T08:52:21Z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